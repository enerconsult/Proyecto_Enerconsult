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qele\Box Sync\Enerconsult\Proyecto Enerconsult\"/>
    </mc:Choice>
  </mc:AlternateContent>
  <xr:revisionPtr revIDLastSave="0" documentId="13_ncr:1_{A9590382-92FC-481D-93B3-89612D7F4CA5}" xr6:coauthVersionLast="47" xr6:coauthVersionMax="47" xr10:uidLastSave="{00000000-0000-0000-0000-000000000000}"/>
  <bookViews>
    <workbookView xWindow="-120" yWindow="-120" windowWidth="29040" windowHeight="15720" xr2:uid="{5F5FB09C-266B-4979-91E6-D9BC76C2C2E3}"/>
  </bookViews>
  <sheets>
    <sheet name="Hoja1" sheetId="1" r:id="rId1"/>
    <sheet name="Hoja2" sheetId="2" r:id="rId2"/>
  </sheets>
  <definedNames>
    <definedName name="_xlnm._FilterDatabase" localSheetId="1" hidden="1">Hoja2!$A$1:$C$15</definedName>
    <definedName name="_xleta.MONTH" hidden="1" xlm="1">#NAME?</definedName>
    <definedName name="_xleta.TODAY" hidden="1" xlm="1">#NAME?</definedName>
    <definedName name="_xleta.YEAR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1" l="1"/>
  <c r="C20" i="1"/>
  <c r="B20" i="1"/>
  <c r="D16" i="2"/>
  <c r="B16" i="2" s="1"/>
  <c r="B9" i="2"/>
  <c r="B12" i="1" s="1"/>
  <c r="B10" i="2"/>
  <c r="B13" i="1" s="1"/>
  <c r="B13" i="2"/>
  <c r="B16" i="1" s="1"/>
  <c r="B14" i="2"/>
  <c r="B6" i="1" s="1"/>
  <c r="D3" i="2"/>
  <c r="B3" i="2" s="1"/>
  <c r="B19" i="1" s="1"/>
  <c r="D4" i="2"/>
  <c r="B4" i="2" s="1"/>
  <c r="B7" i="1" s="1"/>
  <c r="D5" i="2"/>
  <c r="B5" i="2" s="1"/>
  <c r="B17" i="1" s="1"/>
  <c r="D6" i="2"/>
  <c r="B6" i="2" s="1"/>
  <c r="B10" i="1" s="1"/>
  <c r="D7" i="2"/>
  <c r="B7" i="2" s="1"/>
  <c r="B8" i="1" s="1"/>
  <c r="D8" i="2"/>
  <c r="B8" i="2" s="1"/>
  <c r="B11" i="1" s="1"/>
  <c r="D9" i="2"/>
  <c r="D10" i="2"/>
  <c r="D11" i="2"/>
  <c r="B11" i="2" s="1"/>
  <c r="B14" i="1" s="1"/>
  <c r="D12" i="2"/>
  <c r="B12" i="2" s="1"/>
  <c r="B15" i="1" s="1"/>
  <c r="D13" i="2"/>
  <c r="D14" i="2"/>
  <c r="D15" i="2"/>
  <c r="B15" i="2" s="1"/>
  <c r="B18" i="1" s="1"/>
  <c r="D2" i="2"/>
  <c r="B2" i="2" s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F2" i="1"/>
  <c r="E13" i="2" s="1"/>
  <c r="F13" i="2" s="1"/>
  <c r="B31" i="1" s="1"/>
  <c r="C19" i="1"/>
  <c r="C18" i="1"/>
  <c r="C16" i="1"/>
  <c r="C15" i="1"/>
  <c r="C14" i="1"/>
  <c r="C13" i="1"/>
  <c r="C12" i="1"/>
  <c r="C11" i="1"/>
  <c r="C10" i="1"/>
  <c r="C9" i="1"/>
  <c r="C8" i="1"/>
  <c r="C7" i="1"/>
  <c r="C6" i="1"/>
  <c r="C17" i="1"/>
  <c r="E16" i="2" l="1"/>
  <c r="F16" i="2" s="1"/>
  <c r="B35" i="1" s="1"/>
  <c r="E12" i="2"/>
  <c r="F12" i="2" s="1"/>
  <c r="B30" i="1" s="1"/>
  <c r="E11" i="2"/>
  <c r="F11" i="2" s="1"/>
  <c r="B29" i="1" s="1"/>
  <c r="E10" i="2"/>
  <c r="F10" i="2" s="1"/>
  <c r="B28" i="1" s="1"/>
  <c r="E9" i="2"/>
  <c r="F9" i="2" s="1"/>
  <c r="B27" i="1" s="1"/>
  <c r="E8" i="2"/>
  <c r="F8" i="2" s="1"/>
  <c r="B26" i="1" s="1"/>
  <c r="E7" i="2"/>
  <c r="F7" i="2" s="1"/>
  <c r="B23" i="1" s="1"/>
  <c r="E6" i="2"/>
  <c r="F6" i="2" s="1"/>
  <c r="B25" i="1" s="1"/>
  <c r="E5" i="2"/>
  <c r="F5" i="2" s="1"/>
  <c r="B32" i="1" s="1"/>
  <c r="E4" i="2"/>
  <c r="F4" i="2" s="1"/>
  <c r="B22" i="1" s="1"/>
  <c r="E3" i="2"/>
  <c r="F3" i="2" s="1"/>
  <c r="B34" i="1" s="1"/>
  <c r="E2" i="2"/>
  <c r="F2" i="2" s="1"/>
  <c r="B24" i="1" s="1"/>
  <c r="E15" i="2"/>
  <c r="F15" i="2" s="1"/>
  <c r="B33" i="1" s="1"/>
  <c r="E14" i="2"/>
  <c r="F14" i="2" s="1"/>
  <c r="B21" i="1" s="1"/>
  <c r="B9" i="1"/>
</calcChain>
</file>

<file path=xl/sharedStrings.xml><?xml version="1.0" encoding="utf-8"?>
<sst xmlns="http://schemas.openxmlformats.org/spreadsheetml/2006/main" count="87" uniqueCount="37">
  <si>
    <t>Usuario</t>
  </si>
  <si>
    <t>Contraseña</t>
  </si>
  <si>
    <t>M3rcad0_De_3n3rgia+</t>
  </si>
  <si>
    <t>Codigo</t>
  </si>
  <si>
    <t>COGG</t>
  </si>
  <si>
    <t>Ruta</t>
  </si>
  <si>
    <t>Fecha inicial</t>
  </si>
  <si>
    <t>Fecha final</t>
  </si>
  <si>
    <t>Archivos</t>
  </si>
  <si>
    <t>arrpas</t>
  </si>
  <si>
    <t>delsb</t>
  </si>
  <si>
    <t>grip</t>
  </si>
  <si>
    <t>gliq</t>
  </si>
  <si>
    <t>trsd</t>
  </si>
  <si>
    <t>aenc</t>
  </si>
  <si>
    <t>PEI</t>
  </si>
  <si>
    <t>pep</t>
  </si>
  <si>
    <t>pme140</t>
  </si>
  <si>
    <t>PTB</t>
  </si>
  <si>
    <t>tdia_sis</t>
  </si>
  <si>
    <t>tgrl</t>
  </si>
  <si>
    <t>tserv</t>
  </si>
  <si>
    <t>ISAMDNT\1140834150</t>
  </si>
  <si>
    <t>tipo</t>
  </si>
  <si>
    <t>publico</t>
  </si>
  <si>
    <t>privado</t>
  </si>
  <si>
    <t>/INFORMACION_XM/PUBLICOK/SIC/COMERCIA/</t>
  </si>
  <si>
    <t>dir publico</t>
  </si>
  <si>
    <t>dir privado</t>
  </si>
  <si>
    <t>SIC/COMERCIA/</t>
  </si>
  <si>
    <t>general</t>
  </si>
  <si>
    <t>/INFORMACION_XM/USUARIOSK/</t>
  </si>
  <si>
    <t>afac</t>
  </si>
  <si>
    <t>C:\Users\jqele\Box Sync\Enerconsult\Clientes\4G Energia\Transacciones\2025\Archivos liquidación</t>
  </si>
  <si>
    <t>URL</t>
  </si>
  <si>
    <t>ftp://xmftps.xm.com.co:210</t>
  </si>
  <si>
    <t>oefsbmd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</si>
</sst>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3" fillId="0" borderId="0" xfId="1"/>
    <xf numFmtId="0" fontId="4" fillId="0" borderId="0" xfId="0" applyFo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1123950</xdr:colOff>
          <xdr:row>6</xdr:row>
          <xdr:rowOff>19050</xdr:rowOff>
        </xdr:from>
        <xdr:to>
          <xdr:col>3</xdr:col>
          <xdr:colOff>2724150</xdr:colOff>
          <xdr:row>8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ftp://xmftps.xm.com.co:210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B1652-72CA-4099-9A9D-C9238498144D}">
  <sheetPr codeName="Hoja1"/>
  <dimension ref="A1:I35"/>
  <sheetViews>
    <sheetView tabSelected="1" workbookViewId="0">
      <selection activeCell="F2" sqref="F2"/>
    </sheetView>
  </sheetViews>
  <sheetFormatPr baseColWidth="10" defaultRowHeight="15" x14ac:dyDescent="0.25"/>
  <cols>
    <col min="1" max="1" width="19.85546875" bestFit="1" customWidth="1"/>
    <col min="2" max="2" width="56.5703125" bestFit="1" customWidth="1"/>
    <col min="4" max="4" width="88.42578125" customWidth="1"/>
    <col min="5" max="5" width="12.28515625" bestFit="1" customWidth="1"/>
    <col min="7" max="7" width="42.42578125" bestFit="1" customWidth="1"/>
    <col min="8" max="8" width="30" bestFit="1" customWidth="1"/>
    <col min="9" max="9" width="14.28515625" bestFit="1" customWidth="1"/>
  </cols>
  <sheetData>
    <row r="1" spans="1:9" x14ac:dyDescent="0.25">
      <c r="A1" t="s">
        <v>0</v>
      </c>
      <c r="B1" t="s">
        <v>1</v>
      </c>
      <c r="C1" t="s">
        <v>3</v>
      </c>
      <c r="D1" t="s">
        <v>5</v>
      </c>
      <c r="E1" t="s">
        <v>6</v>
      </c>
      <c r="F1" t="s">
        <v>7</v>
      </c>
      <c r="G1" t="s">
        <v>27</v>
      </c>
      <c r="H1" t="s">
        <v>28</v>
      </c>
      <c r="I1" t="s">
        <v>30</v>
      </c>
    </row>
    <row r="2" spans="1:9" x14ac:dyDescent="0.25">
      <c r="A2" s="4" t="s">
        <v>22</v>
      </c>
      <c r="B2" s="4" t="s">
        <v>2</v>
      </c>
      <c r="C2" t="s">
        <v>4</v>
      </c>
      <c r="D2" t="s">
        <v>33</v>
      </c>
      <c r="E2" s="1">
        <v>45962</v>
      </c>
      <c r="F2" s="1">
        <f ca="1">TODAY()</f>
        <v>45996</v>
      </c>
      <c r="G2" t="s">
        <v>26</v>
      </c>
      <c r="H2" t="s">
        <v>31</v>
      </c>
      <c r="I2" t="s">
        <v>29</v>
      </c>
    </row>
    <row r="3" spans="1:9" x14ac:dyDescent="0.25">
      <c r="A3" t="s">
        <v>34</v>
      </c>
      <c r="B3" s="3" t="s">
        <v>35</v>
      </c>
    </row>
    <row r="5" spans="1:9" x14ac:dyDescent="0.25">
      <c r="A5" s="2" t="s">
        <v>8</v>
      </c>
      <c r="B5" t="s">
        <v>5</v>
      </c>
      <c r="C5" t="s">
        <v>23</v>
      </c>
    </row>
    <row r="6" spans="1:9" x14ac:dyDescent="0.25">
      <c r="A6" t="s">
        <v>13</v>
      </c>
      <c r="B6" t="str">
        <f>IFERROR(VLOOKUP(A6,Hoja2!$A$2:$C$40,2,FALSE),"")</f>
        <v>/INFORMACION_XM/PUBLICOK/SIC/COMERCIA/2025-11</v>
      </c>
      <c r="C6" t="str">
        <f>IFERROR(VLOOKUP(A6,Hoja2!$A$2:$C$40,3,FALSE),"")</f>
        <v>publico</v>
      </c>
    </row>
    <row r="7" spans="1:9" x14ac:dyDescent="0.25">
      <c r="A7" t="s">
        <v>9</v>
      </c>
      <c r="B7" t="str">
        <f>IFERROR(VLOOKUP(A7,Hoja2!$A$2:$C$40,2,FALSE),"")</f>
        <v>/INFORMACION_XM/PUBLICOK/SIC/COMERCIA/2025-11</v>
      </c>
      <c r="C7" t="str">
        <f>IFERROR(VLOOKUP(A7,Hoja2!$A$2:$C$40,3,FALSE),"")</f>
        <v>publico</v>
      </c>
    </row>
    <row r="8" spans="1:9" x14ac:dyDescent="0.25">
      <c r="A8" t="s">
        <v>11</v>
      </c>
      <c r="B8" t="str">
        <f>IFERROR(VLOOKUP(A8,Hoja2!$A$2:$C$40,2,FALSE),"")</f>
        <v>/INFORMACION_XM/PUBLICOK/SIC/COMERCIA/2025-11</v>
      </c>
      <c r="C8" t="str">
        <f>IFERROR(VLOOKUP(A8,Hoja2!$A$2:$C$40,3,FALSE),"")</f>
        <v>publico</v>
      </c>
    </row>
    <row r="9" spans="1:9" x14ac:dyDescent="0.25">
      <c r="A9" t="s">
        <v>14</v>
      </c>
      <c r="B9" t="str">
        <f>IFERROR(VLOOKUP(A9,Hoja2!$A$2:$C$40,2,FALSE),"")</f>
        <v>/INFORMACION_XM/USUARIOSK/COGG/SIC/COMERCIA/2025-11</v>
      </c>
      <c r="C9" t="str">
        <f>IFERROR(VLOOKUP(A9,Hoja2!$A$2:$C$40,3,FALSE),"")</f>
        <v>privado</v>
      </c>
    </row>
    <row r="10" spans="1:9" x14ac:dyDescent="0.25">
      <c r="A10" t="s">
        <v>12</v>
      </c>
      <c r="B10" t="str">
        <f>IFERROR(VLOOKUP(A10,Hoja2!$A$2:$C$40,2,FALSE),"")</f>
        <v>/INFORMACION_XM/PUBLICOK/SIC/COMERCIA/2025-11</v>
      </c>
      <c r="C10" t="str">
        <f>IFERROR(VLOOKUP(A10,Hoja2!$A$2:$C$40,3,FALSE),"")</f>
        <v>publico</v>
      </c>
    </row>
    <row r="11" spans="1:9" x14ac:dyDescent="0.25">
      <c r="A11" t="s">
        <v>15</v>
      </c>
      <c r="B11" t="str">
        <f>IFERROR(VLOOKUP(A11,Hoja2!$A$2:$C$40,2,FALSE),"")</f>
        <v>/INFORMACION_XM/PUBLICOK/SIC/COMERCIA/2025-11</v>
      </c>
      <c r="C11" t="str">
        <f>IFERROR(VLOOKUP(A11,Hoja2!$A$2:$C$40,3,FALSE),"")</f>
        <v>publico</v>
      </c>
    </row>
    <row r="12" spans="1:9" x14ac:dyDescent="0.25">
      <c r="A12" t="s">
        <v>16</v>
      </c>
      <c r="B12" t="str">
        <f>IFERROR(VLOOKUP(A12,Hoja2!$A$2:$C$40,2,FALSE),"")</f>
        <v>/INFORMACION_XM/PUBLICOK/SIC/COMERCIA/2025-11</v>
      </c>
      <c r="C12" t="str">
        <f>IFERROR(VLOOKUP(A12,Hoja2!$A$2:$C$40,3,FALSE),"")</f>
        <v>publico</v>
      </c>
    </row>
    <row r="13" spans="1:9" x14ac:dyDescent="0.25">
      <c r="A13" t="s">
        <v>17</v>
      </c>
      <c r="B13" t="str">
        <f>IFERROR(VLOOKUP(A13,Hoja2!$A$2:$C$40,2,FALSE),"")</f>
        <v>/INFORMACION_XM/PUBLICOK/SIC/COMERCIA/2025-11</v>
      </c>
      <c r="C13" t="str">
        <f>IFERROR(VLOOKUP(A13,Hoja2!$A$2:$C$40,3,FALSE),"")</f>
        <v>publico</v>
      </c>
    </row>
    <row r="14" spans="1:9" x14ac:dyDescent="0.25">
      <c r="A14" t="s">
        <v>18</v>
      </c>
      <c r="B14" t="str">
        <f>IFERROR(VLOOKUP(A14,Hoja2!$A$2:$C$40,2,FALSE),"")</f>
        <v>/INFORMACION_XM/PUBLICOK/SIC/COMERCIA/2025-11</v>
      </c>
      <c r="C14" t="str">
        <f>IFERROR(VLOOKUP(A14,Hoja2!$A$2:$C$40,3,FALSE),"")</f>
        <v>publico</v>
      </c>
    </row>
    <row r="15" spans="1:9" x14ac:dyDescent="0.25">
      <c r="A15" t="s">
        <v>19</v>
      </c>
      <c r="B15" t="str">
        <f>IFERROR(VLOOKUP(A15,Hoja2!$A$2:$C$40,2,FALSE),"")</f>
        <v>/INFORMACION_XM/PUBLICOK/SIC/COMERCIA/2025-11</v>
      </c>
      <c r="C15" t="str">
        <f>IFERROR(VLOOKUP(A15,Hoja2!$A$2:$C$40,3,FALSE),"")</f>
        <v>publico</v>
      </c>
    </row>
    <row r="16" spans="1:9" x14ac:dyDescent="0.25">
      <c r="A16" t="s">
        <v>20</v>
      </c>
      <c r="B16" t="str">
        <f>IFERROR(VLOOKUP(A16,Hoja2!$A$2:$C$40,2,FALSE),"")</f>
        <v>/INFORMACION_XM/PUBLICOK/SIC/COMERCIA/2025-11</v>
      </c>
      <c r="C16" t="str">
        <f>IFERROR(VLOOKUP(A16,Hoja2!$A$2:$C$40,3,FALSE),"")</f>
        <v>publico</v>
      </c>
    </row>
    <row r="17" spans="1:3" x14ac:dyDescent="0.25">
      <c r="A17" t="s">
        <v>10</v>
      </c>
      <c r="B17" t="str">
        <f>IFERROR(VLOOKUP(A17,Hoja2!$A$2:$C$40,2,FALSE),"")</f>
        <v>/INFORMACION_XM/PUBLICOK/SIC/COMERCIA/2025-11</v>
      </c>
      <c r="C17" t="str">
        <f>IFERROR(VLOOKUP(A17,Hoja2!$A$2:$C$40,3,FALSE),"")</f>
        <v>publico</v>
      </c>
    </row>
    <row r="18" spans="1:3" x14ac:dyDescent="0.25">
      <c r="A18" t="s">
        <v>21</v>
      </c>
      <c r="B18" t="str">
        <f>IFERROR(VLOOKUP(A18,Hoja2!$A$2:$C$40,2,FALSE),"")</f>
        <v>/INFORMACION_XM/PUBLICOK/SIC/COMERCIA/2025-11</v>
      </c>
      <c r="C18" t="str">
        <f>IFERROR(VLOOKUP(A18,Hoja2!$A$2:$C$40,3,FALSE),"")</f>
        <v>publico</v>
      </c>
    </row>
    <row r="19" spans="1:3" x14ac:dyDescent="0.25">
      <c r="A19" t="s">
        <v>32</v>
      </c>
      <c r="B19" t="str">
        <f>IFERROR(VLOOKUP(A19,Hoja2!$A$2:$C$40,2,FALSE),"")</f>
        <v>/INFORMACION_XM/PUBLICOK/SIC/COMERCIA/2025-11</v>
      </c>
      <c r="C19" t="str">
        <f>IFERROR(VLOOKUP(A19,Hoja2!$A$2:$C$40,3,FALSE),"")</f>
        <v>publico</v>
      </c>
    </row>
    <row r="20" spans="1:3" x14ac:dyDescent="0.25">
      <c r="A20" t="s">
        <v>36</v>
      </c>
      <c r="B20" t="str">
        <f>IFERROR(VLOOKUP(A20,Hoja2!$A$2:$C$40,2,FALSE),"")</f>
        <v>/INFORMACION_XM/PUBLICOK/SIC/COMERCIA/2025-11</v>
      </c>
      <c r="C20" t="str">
        <f>IFERROR(VLOOKUP(A20,Hoja2!$A$2:$C$40,3,FALSE),"")</f>
        <v>publico</v>
      </c>
    </row>
    <row r="21" spans="1:3" x14ac:dyDescent="0.25">
      <c r="A21" t="s">
        <v>13</v>
      </c>
      <c r="B21" t="str">
        <f ca="1">IFERROR(VLOOKUP(A21,Hoja2!$A$2:$F$40,6,FALSE),"")</f>
        <v>/INFORMACION_XM/PUBLICOK/SIC/COMERCIA/2025-12</v>
      </c>
      <c r="C21" t="str">
        <f>IFERROR(VLOOKUP(A21,Hoja2!$A$2:$C$40,3,FALSE),"")</f>
        <v>publico</v>
      </c>
    </row>
    <row r="22" spans="1:3" x14ac:dyDescent="0.25">
      <c r="A22" t="s">
        <v>9</v>
      </c>
      <c r="B22" t="str">
        <f ca="1">IFERROR(VLOOKUP(A22,Hoja2!$A$2:$F$40,6,FALSE),"")</f>
        <v>/INFORMACION_XM/PUBLICOK/SIC/COMERCIA/2025-12</v>
      </c>
      <c r="C22" t="str">
        <f>IFERROR(VLOOKUP(A22,Hoja2!$A$2:$C$40,3,FALSE),"")</f>
        <v>publico</v>
      </c>
    </row>
    <row r="23" spans="1:3" x14ac:dyDescent="0.25">
      <c r="A23" t="s">
        <v>11</v>
      </c>
      <c r="B23" t="str">
        <f ca="1">IFERROR(VLOOKUP(A23,Hoja2!$A$2:$F$40,6,FALSE),"")</f>
        <v>/INFORMACION_XM/PUBLICOK/SIC/COMERCIA/2025-12</v>
      </c>
      <c r="C23" t="str">
        <f>IFERROR(VLOOKUP(A23,Hoja2!$A$2:$C$40,3,FALSE),"")</f>
        <v>publico</v>
      </c>
    </row>
    <row r="24" spans="1:3" x14ac:dyDescent="0.25">
      <c r="A24" t="s">
        <v>14</v>
      </c>
      <c r="B24" t="str">
        <f ca="1">IFERROR(VLOOKUP(A24,Hoja2!$A$2:$F$40,6,FALSE),"")</f>
        <v>/INFORMACION_XM/USUARIOSK/COGG/SIC/COMERCIA/2025-12</v>
      </c>
      <c r="C24" t="str">
        <f>IFERROR(VLOOKUP(A24,Hoja2!$A$2:$C$40,3,FALSE),"")</f>
        <v>privado</v>
      </c>
    </row>
    <row r="25" spans="1:3" x14ac:dyDescent="0.25">
      <c r="A25" t="s">
        <v>12</v>
      </c>
      <c r="B25" t="str">
        <f ca="1">IFERROR(VLOOKUP(A25,Hoja2!$A$2:$F$40,6,FALSE),"")</f>
        <v>/INFORMACION_XM/PUBLICOK/SIC/COMERCIA/2025-12</v>
      </c>
      <c r="C25" t="str">
        <f>IFERROR(VLOOKUP(A25,Hoja2!$A$2:$C$40,3,FALSE),"")</f>
        <v>publico</v>
      </c>
    </row>
    <row r="26" spans="1:3" x14ac:dyDescent="0.25">
      <c r="A26" t="s">
        <v>15</v>
      </c>
      <c r="B26" t="str">
        <f ca="1">IFERROR(VLOOKUP(A26,Hoja2!$A$2:$F$40,6,FALSE),"")</f>
        <v>/INFORMACION_XM/PUBLICOK/SIC/COMERCIA/2025-12</v>
      </c>
      <c r="C26" t="str">
        <f>IFERROR(VLOOKUP(A26,Hoja2!$A$2:$C$40,3,FALSE),"")</f>
        <v>publico</v>
      </c>
    </row>
    <row r="27" spans="1:3" x14ac:dyDescent="0.25">
      <c r="A27" t="s">
        <v>16</v>
      </c>
      <c r="B27" t="str">
        <f ca="1">IFERROR(VLOOKUP(A27,Hoja2!$A$2:$F$40,6,FALSE),"")</f>
        <v>/INFORMACION_XM/PUBLICOK/SIC/COMERCIA/2025-12</v>
      </c>
      <c r="C27" t="str">
        <f>IFERROR(VLOOKUP(A27,Hoja2!$A$2:$C$40,3,FALSE),"")</f>
        <v>publico</v>
      </c>
    </row>
    <row r="28" spans="1:3" x14ac:dyDescent="0.25">
      <c r="A28" t="s">
        <v>17</v>
      </c>
      <c r="B28" t="str">
        <f ca="1">IFERROR(VLOOKUP(A28,Hoja2!$A$2:$F$40,6,FALSE),"")</f>
        <v>/INFORMACION_XM/PUBLICOK/SIC/COMERCIA/2025-12</v>
      </c>
      <c r="C28" t="str">
        <f>IFERROR(VLOOKUP(A28,Hoja2!$A$2:$C$40,3,FALSE),"")</f>
        <v>publico</v>
      </c>
    </row>
    <row r="29" spans="1:3" x14ac:dyDescent="0.25">
      <c r="A29" t="s">
        <v>18</v>
      </c>
      <c r="B29" t="str">
        <f ca="1">IFERROR(VLOOKUP(A29,Hoja2!$A$2:$F$40,6,FALSE),"")</f>
        <v>/INFORMACION_XM/PUBLICOK/SIC/COMERCIA/2025-12</v>
      </c>
      <c r="C29" t="str">
        <f>IFERROR(VLOOKUP(A29,Hoja2!$A$2:$C$40,3,FALSE),"")</f>
        <v>publico</v>
      </c>
    </row>
    <row r="30" spans="1:3" x14ac:dyDescent="0.25">
      <c r="A30" t="s">
        <v>19</v>
      </c>
      <c r="B30" t="str">
        <f ca="1">IFERROR(VLOOKUP(A30,Hoja2!$A$2:$F$40,6,FALSE),"")</f>
        <v>/INFORMACION_XM/PUBLICOK/SIC/COMERCIA/2025-12</v>
      </c>
      <c r="C30" t="str">
        <f>IFERROR(VLOOKUP(A30,Hoja2!$A$2:$C$40,3,FALSE),"")</f>
        <v>publico</v>
      </c>
    </row>
    <row r="31" spans="1:3" x14ac:dyDescent="0.25">
      <c r="A31" t="s">
        <v>20</v>
      </c>
      <c r="B31" t="str">
        <f ca="1">IFERROR(VLOOKUP(A31,Hoja2!$A$2:$F$40,6,FALSE),"")</f>
        <v>/INFORMACION_XM/PUBLICOK/SIC/COMERCIA/2025-12</v>
      </c>
      <c r="C31" t="str">
        <f>IFERROR(VLOOKUP(A31,Hoja2!$A$2:$C$40,3,FALSE),"")</f>
        <v>publico</v>
      </c>
    </row>
    <row r="32" spans="1:3" x14ac:dyDescent="0.25">
      <c r="A32" t="s">
        <v>10</v>
      </c>
      <c r="B32" t="str">
        <f ca="1">IFERROR(VLOOKUP(A32,Hoja2!$A$2:$F$40,6,FALSE),"")</f>
        <v>/INFORMACION_XM/PUBLICOK/SIC/COMERCIA/2025-12</v>
      </c>
      <c r="C32" t="str">
        <f>IFERROR(VLOOKUP(A32,Hoja2!$A$2:$C$40,3,FALSE),"")</f>
        <v>publico</v>
      </c>
    </row>
    <row r="33" spans="1:3" x14ac:dyDescent="0.25">
      <c r="A33" t="s">
        <v>21</v>
      </c>
      <c r="B33" t="str">
        <f ca="1">IFERROR(VLOOKUP(A33,Hoja2!$A$2:$F$40,6,FALSE),"")</f>
        <v>/INFORMACION_XM/PUBLICOK/SIC/COMERCIA/2025-12</v>
      </c>
      <c r="C33" t="str">
        <f>IFERROR(VLOOKUP(A33,Hoja2!$A$2:$C$40,3,FALSE),"")</f>
        <v>publico</v>
      </c>
    </row>
    <row r="34" spans="1:3" x14ac:dyDescent="0.25">
      <c r="A34" t="s">
        <v>32</v>
      </c>
      <c r="B34" t="str">
        <f ca="1">IFERROR(VLOOKUP(A34,Hoja2!$A$2:$F$40,6,FALSE),"")</f>
        <v>/INFORMACION_XM/PUBLICOK/SIC/COMERCIA/2025-12</v>
      </c>
      <c r="C34" t="str">
        <f>IFERROR(VLOOKUP(A34,Hoja2!$A$2:$C$40,3,FALSE),"")</f>
        <v>publico</v>
      </c>
    </row>
    <row r="35" spans="1:3" x14ac:dyDescent="0.25">
      <c r="A35" t="s">
        <v>36</v>
      </c>
      <c r="B35" t="str">
        <f ca="1">IFERROR(VLOOKUP(A35,Hoja2!$A$2:$F$40,6,FALSE),"")</f>
        <v>/INFORMACION_XM/PUBLICOK/SIC/COMERCIA/2025-12</v>
      </c>
      <c r="C35" t="str">
        <f>IFERROR(VLOOKUP(A35,Hoja2!$A$2:$C$40,3,FALSE),"")</f>
        <v>publico</v>
      </c>
    </row>
  </sheetData>
  <hyperlinks>
    <hyperlink ref="B3" r:id="rId1" xr:uid="{177D1F78-832D-481D-8AAB-24A4CED6FEAB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jecutar_Script_Python">
                <anchor moveWithCells="1" sizeWithCells="1">
                  <from>
                    <xdr:col>3</xdr:col>
                    <xdr:colOff>1123950</xdr:colOff>
                    <xdr:row>6</xdr:row>
                    <xdr:rowOff>19050</xdr:rowOff>
                  </from>
                  <to>
                    <xdr:col>3</xdr:col>
                    <xdr:colOff>2724150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9EB4FFE-68AD-4369-92CA-188107496E1E}">
          <x14:formula1>
            <xm:f>Hoja2!$A$2:$A$35</xm:f>
          </x14:formula1>
          <xm:sqref>A6:A19 A21:A34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9E896-9718-4A69-A7A7-30C5E7879B10}">
  <sheetPr codeName="Hoja2"/>
  <dimension ref="A1:F16"/>
  <sheetViews>
    <sheetView workbookViewId="0">
      <selection activeCell="F15" sqref="F15:F16"/>
    </sheetView>
  </sheetViews>
  <sheetFormatPr baseColWidth="10" defaultRowHeight="15" x14ac:dyDescent="0.25"/>
  <cols>
    <col min="1" max="1" width="8.5703125" bestFit="1" customWidth="1"/>
    <col min="2" max="2" width="56.5703125" bestFit="1" customWidth="1"/>
    <col min="3" max="3" width="7.7109375" bestFit="1" customWidth="1"/>
    <col min="4" max="4" width="12.28515625" bestFit="1" customWidth="1"/>
    <col min="6" max="6" width="56.5703125" bestFit="1" customWidth="1"/>
  </cols>
  <sheetData>
    <row r="1" spans="1:6" x14ac:dyDescent="0.25">
      <c r="A1" t="s">
        <v>8</v>
      </c>
      <c r="B1" t="s">
        <v>5</v>
      </c>
      <c r="C1" t="s">
        <v>23</v>
      </c>
      <c r="D1" t="s">
        <v>6</v>
      </c>
      <c r="E1" t="s">
        <v>7</v>
      </c>
      <c r="F1" t="s">
        <v>5</v>
      </c>
    </row>
    <row r="2" spans="1:6" x14ac:dyDescent="0.25">
      <c r="A2" t="s">
        <v>14</v>
      </c>
      <c r="B2" t="str">
        <f>IF(C2="publico",CONCATENATE(Hoja1!$G$2,YEAR(D2),"-",TEXT(D2,"mm")),CONCATENATE(Hoja1!$H$2,Hoja1!$C$2,"/",Hoja1!$I$2,YEAR(D2),"-",TEXT(D2,"mm")))</f>
        <v>/INFORMACION_XM/USUARIOSK/COGG/SIC/COMERCIA/2025-11</v>
      </c>
      <c r="C2" t="s">
        <v>25</v>
      </c>
      <c r="D2" s="1">
        <f>Hoja1!$E$2</f>
        <v>45962</v>
      </c>
      <c r="E2" s="1">
        <f ca="1">Hoja1!$F$2</f>
        <v>45996</v>
      </c>
      <c r="F2" t="str">
        <f ca="1">IF(C2="publico",CONCATENATE(Hoja1!$G$2,YEAR(E2),"-",TEXT(E2,"mm")),CONCATENATE(Hoja1!$H$2,Hoja1!$C$2,"/",Hoja1!$I$2,YEAR(E2),"-",TEXT(E2,"mm")))</f>
        <v>/INFORMACION_XM/USUARIOSK/COGG/SIC/COMERCIA/2025-12</v>
      </c>
    </row>
    <row r="3" spans="1:6" x14ac:dyDescent="0.25">
      <c r="A3" t="s">
        <v>32</v>
      </c>
      <c r="B3" t="str">
        <f>IF(C3="publico",CONCATENATE(Hoja1!$G$2,YEAR(D3),"-",TEXT(D3,"mm")),CONCATENATE(Hoja1!$H$2,Hoja1!$C$2,"/",Hoja1!$I$2,YEAR(D3),"-",TEXT(D3,"mm")))</f>
        <v>/INFORMACION_XM/PUBLICOK/SIC/COMERCIA/2025-11</v>
      </c>
      <c r="C3" t="s">
        <v>24</v>
      </c>
      <c r="D3" s="1">
        <f>Hoja1!$E$2</f>
        <v>45962</v>
      </c>
      <c r="E3" s="1">
        <f ca="1">Hoja1!$F$2</f>
        <v>45996</v>
      </c>
      <c r="F3" t="str">
        <f ca="1">IF(C3="publico",CONCATENATE(Hoja1!$G$2,YEAR(E3),"-",TEXT(E3,"mm")),CONCATENATE(Hoja1!$H$2,Hoja1!$C$2,"/",Hoja1!$I$2,YEAR(E3),"-",TEXT(E3,"mm")))</f>
        <v>/INFORMACION_XM/PUBLICOK/SIC/COMERCIA/2025-12</v>
      </c>
    </row>
    <row r="4" spans="1:6" x14ac:dyDescent="0.25">
      <c r="A4" t="s">
        <v>9</v>
      </c>
      <c r="B4" t="str">
        <f>IF(C4="publico",CONCATENATE(Hoja1!$G$2,YEAR(D4),"-",TEXT(D4,"mm")),CONCATENATE(Hoja1!$H$2,Hoja1!$C$2,"/",Hoja1!$I$2,YEAR(D4),"-",TEXT(D4,"mm")))</f>
        <v>/INFORMACION_XM/PUBLICOK/SIC/COMERCIA/2025-11</v>
      </c>
      <c r="C4" t="s">
        <v>24</v>
      </c>
      <c r="D4" s="1">
        <f>Hoja1!$E$2</f>
        <v>45962</v>
      </c>
      <c r="E4" s="1">
        <f ca="1">Hoja1!$F$2</f>
        <v>45996</v>
      </c>
      <c r="F4" t="str">
        <f ca="1">IF(C4="publico",CONCATENATE(Hoja1!$G$2,YEAR(E4),"-",TEXT(E4,"mm")),CONCATENATE(Hoja1!$H$2,Hoja1!$C$2,"/",Hoja1!$I$2,YEAR(E4),"-",TEXT(E4,"mm")))</f>
        <v>/INFORMACION_XM/PUBLICOK/SIC/COMERCIA/2025-12</v>
      </c>
    </row>
    <row r="5" spans="1:6" x14ac:dyDescent="0.25">
      <c r="A5" t="s">
        <v>10</v>
      </c>
      <c r="B5" t="str">
        <f>IF(C5="publico",CONCATENATE(Hoja1!$G$2,YEAR(D5),"-",TEXT(D5,"mm")),CONCATENATE(Hoja1!$H$2,Hoja1!$C$2,"/",Hoja1!$I$2,YEAR(D5),"-",TEXT(D5,"mm")))</f>
        <v>/INFORMACION_XM/PUBLICOK/SIC/COMERCIA/2025-11</v>
      </c>
      <c r="C5" t="s">
        <v>24</v>
      </c>
      <c r="D5" s="1">
        <f>Hoja1!$E$2</f>
        <v>45962</v>
      </c>
      <c r="E5" s="1">
        <f ca="1">Hoja1!$F$2</f>
        <v>45996</v>
      </c>
      <c r="F5" t="str">
        <f ca="1">IF(C5="publico",CONCATENATE(Hoja1!$G$2,YEAR(E5),"-",TEXT(E5,"mm")),CONCATENATE(Hoja1!$H$2,Hoja1!$C$2,"/",Hoja1!$I$2,YEAR(E5),"-",TEXT(E5,"mm")))</f>
        <v>/INFORMACION_XM/PUBLICOK/SIC/COMERCIA/2025-12</v>
      </c>
    </row>
    <row r="6" spans="1:6" x14ac:dyDescent="0.25">
      <c r="A6" t="s">
        <v>12</v>
      </c>
      <c r="B6" t="str">
        <f>IF(C6="publico",CONCATENATE(Hoja1!$G$2,YEAR(D6),"-",TEXT(D6,"mm")),CONCATENATE(Hoja1!$H$2,Hoja1!$C$2,"/",Hoja1!$I$2,YEAR(D6),"-",TEXT(D6,"mm")))</f>
        <v>/INFORMACION_XM/PUBLICOK/SIC/COMERCIA/2025-11</v>
      </c>
      <c r="C6" t="s">
        <v>24</v>
      </c>
      <c r="D6" s="1">
        <f>Hoja1!$E$2</f>
        <v>45962</v>
      </c>
      <c r="E6" s="1">
        <f ca="1">Hoja1!$F$2</f>
        <v>45996</v>
      </c>
      <c r="F6" t="str">
        <f ca="1">IF(C6="publico",CONCATENATE(Hoja1!$G$2,YEAR(E6),"-",TEXT(E6,"mm")),CONCATENATE(Hoja1!$H$2,Hoja1!$C$2,"/",Hoja1!$I$2,YEAR(E6),"-",TEXT(E6,"mm")))</f>
        <v>/INFORMACION_XM/PUBLICOK/SIC/COMERCIA/2025-12</v>
      </c>
    </row>
    <row r="7" spans="1:6" x14ac:dyDescent="0.25">
      <c r="A7" t="s">
        <v>11</v>
      </c>
      <c r="B7" t="str">
        <f>IF(C7="publico",CONCATENATE(Hoja1!$G$2,YEAR(D7),"-",TEXT(D7,"mm")),CONCATENATE(Hoja1!$H$2,Hoja1!$C$2,"/",Hoja1!$I$2,YEAR(D7),"-",TEXT(D7,"mm")))</f>
        <v>/INFORMACION_XM/PUBLICOK/SIC/COMERCIA/2025-11</v>
      </c>
      <c r="C7" t="s">
        <v>24</v>
      </c>
      <c r="D7" s="1">
        <f>Hoja1!$E$2</f>
        <v>45962</v>
      </c>
      <c r="E7" s="1">
        <f ca="1">Hoja1!$F$2</f>
        <v>45996</v>
      </c>
      <c r="F7" t="str">
        <f ca="1">IF(C7="publico",CONCATENATE(Hoja1!$G$2,YEAR(E7),"-",TEXT(E7,"mm")),CONCATENATE(Hoja1!$H$2,Hoja1!$C$2,"/",Hoja1!$I$2,YEAR(E7),"-",TEXT(E7,"mm")))</f>
        <v>/INFORMACION_XM/PUBLICOK/SIC/COMERCIA/2025-12</v>
      </c>
    </row>
    <row r="8" spans="1:6" x14ac:dyDescent="0.25">
      <c r="A8" t="s">
        <v>15</v>
      </c>
      <c r="B8" t="str">
        <f>IF(C8="publico",CONCATENATE(Hoja1!$G$2,YEAR(D8),"-",TEXT(D8,"mm")),CONCATENATE(Hoja1!$H$2,Hoja1!$C$2,"/",Hoja1!$I$2,YEAR(D8),"-",TEXT(D8,"mm")))</f>
        <v>/INFORMACION_XM/PUBLICOK/SIC/COMERCIA/2025-11</v>
      </c>
      <c r="C8" t="s">
        <v>24</v>
      </c>
      <c r="D8" s="1">
        <f>Hoja1!$E$2</f>
        <v>45962</v>
      </c>
      <c r="E8" s="1">
        <f ca="1">Hoja1!$F$2</f>
        <v>45996</v>
      </c>
      <c r="F8" t="str">
        <f ca="1">IF(C8="publico",CONCATENATE(Hoja1!$G$2,YEAR(E8),"-",TEXT(E8,"mm")),CONCATENATE(Hoja1!$H$2,Hoja1!$C$2,"/",Hoja1!$I$2,YEAR(E8),"-",TEXT(E8,"mm")))</f>
        <v>/INFORMACION_XM/PUBLICOK/SIC/COMERCIA/2025-12</v>
      </c>
    </row>
    <row r="9" spans="1:6" x14ac:dyDescent="0.25">
      <c r="A9" t="s">
        <v>16</v>
      </c>
      <c r="B9" t="str">
        <f>IF(C9="publico",CONCATENATE(Hoja1!$G$2,YEAR(D9),"-",TEXT(D9,"mm")),CONCATENATE(Hoja1!$H$2,Hoja1!$C$2,"/",Hoja1!$I$2,YEAR(D9),"-",TEXT(D9,"mm")))</f>
        <v>/INFORMACION_XM/PUBLICOK/SIC/COMERCIA/2025-11</v>
      </c>
      <c r="C9" t="s">
        <v>24</v>
      </c>
      <c r="D9" s="1">
        <f>Hoja1!$E$2</f>
        <v>45962</v>
      </c>
      <c r="E9" s="1">
        <f ca="1">Hoja1!$F$2</f>
        <v>45996</v>
      </c>
      <c r="F9" t="str">
        <f ca="1">IF(C9="publico",CONCATENATE(Hoja1!$G$2,YEAR(E9),"-",TEXT(E9,"mm")),CONCATENATE(Hoja1!$H$2,Hoja1!$C$2,"/",Hoja1!$I$2,YEAR(E9),"-",TEXT(E9,"mm")))</f>
        <v>/INFORMACION_XM/PUBLICOK/SIC/COMERCIA/2025-12</v>
      </c>
    </row>
    <row r="10" spans="1:6" x14ac:dyDescent="0.25">
      <c r="A10" t="s">
        <v>17</v>
      </c>
      <c r="B10" t="str">
        <f>IF(C10="publico",CONCATENATE(Hoja1!$G$2,YEAR(D10),"-",TEXT(D10,"mm")),CONCATENATE(Hoja1!$H$2,Hoja1!$C$2,"/",Hoja1!$I$2,YEAR(D10),"-",TEXT(D10,"mm")))</f>
        <v>/INFORMACION_XM/PUBLICOK/SIC/COMERCIA/2025-11</v>
      </c>
      <c r="C10" t="s">
        <v>24</v>
      </c>
      <c r="D10" s="1">
        <f>Hoja1!$E$2</f>
        <v>45962</v>
      </c>
      <c r="E10" s="1">
        <f ca="1">Hoja1!$F$2</f>
        <v>45996</v>
      </c>
      <c r="F10" t="str">
        <f ca="1">IF(C10="publico",CONCATENATE(Hoja1!$G$2,YEAR(E10),"-",TEXT(E10,"mm")),CONCATENATE(Hoja1!$H$2,Hoja1!$C$2,"/",Hoja1!$I$2,YEAR(E10),"-",TEXT(E10,"mm")))</f>
        <v>/INFORMACION_XM/PUBLICOK/SIC/COMERCIA/2025-12</v>
      </c>
    </row>
    <row r="11" spans="1:6" x14ac:dyDescent="0.25">
      <c r="A11" t="s">
        <v>18</v>
      </c>
      <c r="B11" t="str">
        <f>IF(C11="publico",CONCATENATE(Hoja1!$G$2,YEAR(D11),"-",TEXT(D11,"mm")),CONCATENATE(Hoja1!$H$2,Hoja1!$C$2,"/",Hoja1!$I$2,YEAR(D11),"-",TEXT(D11,"mm")))</f>
        <v>/INFORMACION_XM/PUBLICOK/SIC/COMERCIA/2025-11</v>
      </c>
      <c r="C11" t="s">
        <v>24</v>
      </c>
      <c r="D11" s="1">
        <f>Hoja1!$E$2</f>
        <v>45962</v>
      </c>
      <c r="E11" s="1">
        <f ca="1">Hoja1!$F$2</f>
        <v>45996</v>
      </c>
      <c r="F11" t="str">
        <f ca="1">IF(C11="publico",CONCATENATE(Hoja1!$G$2,YEAR(E11),"-",TEXT(E11,"mm")),CONCATENATE(Hoja1!$H$2,Hoja1!$C$2,"/",Hoja1!$I$2,YEAR(E11),"-",TEXT(E11,"mm")))</f>
        <v>/INFORMACION_XM/PUBLICOK/SIC/COMERCIA/2025-12</v>
      </c>
    </row>
    <row r="12" spans="1:6" x14ac:dyDescent="0.25">
      <c r="A12" t="s">
        <v>19</v>
      </c>
      <c r="B12" t="str">
        <f>IF(C12="publico",CONCATENATE(Hoja1!$G$2,YEAR(D12),"-",TEXT(D12,"mm")),CONCATENATE(Hoja1!$H$2,Hoja1!$C$2,"/",Hoja1!$I$2,YEAR(D12),"-",TEXT(D12,"mm")))</f>
        <v>/INFORMACION_XM/PUBLICOK/SIC/COMERCIA/2025-11</v>
      </c>
      <c r="C12" t="s">
        <v>24</v>
      </c>
      <c r="D12" s="1">
        <f>Hoja1!$E$2</f>
        <v>45962</v>
      </c>
      <c r="E12" s="1">
        <f ca="1">Hoja1!$F$2</f>
        <v>45996</v>
      </c>
      <c r="F12" t="str">
        <f ca="1">IF(C12="publico",CONCATENATE(Hoja1!$G$2,YEAR(E12),"-",TEXT(E12,"mm")),CONCATENATE(Hoja1!$H$2,Hoja1!$C$2,"/",Hoja1!$I$2,YEAR(E12),"-",TEXT(E12,"mm")))</f>
        <v>/INFORMACION_XM/PUBLICOK/SIC/COMERCIA/2025-12</v>
      </c>
    </row>
    <row r="13" spans="1:6" x14ac:dyDescent="0.25">
      <c r="A13" t="s">
        <v>20</v>
      </c>
      <c r="B13" t="str">
        <f>IF(C13="publico",CONCATENATE(Hoja1!$G$2,YEAR(D13),"-",TEXT(D13,"mm")),CONCATENATE(Hoja1!$H$2,Hoja1!$C$2,"/",Hoja1!$I$2,YEAR(D13),"-",TEXT(D13,"mm")))</f>
        <v>/INFORMACION_XM/PUBLICOK/SIC/COMERCIA/2025-11</v>
      </c>
      <c r="C13" t="s">
        <v>24</v>
      </c>
      <c r="D13" s="1">
        <f>Hoja1!$E$2</f>
        <v>45962</v>
      </c>
      <c r="E13" s="1">
        <f ca="1">Hoja1!$F$2</f>
        <v>45996</v>
      </c>
      <c r="F13" t="str">
        <f ca="1">IF(C13="publico",CONCATENATE(Hoja1!$G$2,YEAR(E13),"-",TEXT(E13,"mm")),CONCATENATE(Hoja1!$H$2,Hoja1!$C$2,"/",Hoja1!$I$2,YEAR(E13),"-",TEXT(E13,"mm")))</f>
        <v>/INFORMACION_XM/PUBLICOK/SIC/COMERCIA/2025-12</v>
      </c>
    </row>
    <row r="14" spans="1:6" x14ac:dyDescent="0.25">
      <c r="A14" t="s">
        <v>13</v>
      </c>
      <c r="B14" t="str">
        <f>IF(C14="publico",CONCATENATE(Hoja1!$G$2,YEAR(D14),"-",TEXT(D14,"mm")),CONCATENATE(Hoja1!$H$2,Hoja1!$C$2,"/",Hoja1!$I$2,YEAR(D14),"-",TEXT(D14,"mm")))</f>
        <v>/INFORMACION_XM/PUBLICOK/SIC/COMERCIA/2025-11</v>
      </c>
      <c r="C14" t="s">
        <v>24</v>
      </c>
      <c r="D14" s="1">
        <f>Hoja1!$E$2</f>
        <v>45962</v>
      </c>
      <c r="E14" s="1">
        <f ca="1">Hoja1!$F$2</f>
        <v>45996</v>
      </c>
      <c r="F14" t="str">
        <f ca="1">IF(C14="publico",CONCATENATE(Hoja1!$G$2,YEAR(E14),"-",TEXT(E14,"mm")),CONCATENATE(Hoja1!$H$2,Hoja1!$C$2,"/",Hoja1!$I$2,YEAR(E14),"-",TEXT(E14,"mm")))</f>
        <v>/INFORMACION_XM/PUBLICOK/SIC/COMERCIA/2025-12</v>
      </c>
    </row>
    <row r="15" spans="1:6" x14ac:dyDescent="0.25">
      <c r="A15" t="s">
        <v>21</v>
      </c>
      <c r="B15" t="str">
        <f>IF(C15="publico",CONCATENATE(Hoja1!$G$2,YEAR(D15),"-",TEXT(D15,"mm")),CONCATENATE(Hoja1!$H$2,Hoja1!$C$2,"/",Hoja1!$I$2,YEAR(D15),"-",TEXT(D15,"mm")))</f>
        <v>/INFORMACION_XM/PUBLICOK/SIC/COMERCIA/2025-11</v>
      </c>
      <c r="C15" t="s">
        <v>24</v>
      </c>
      <c r="D15" s="1">
        <f>Hoja1!$E$2</f>
        <v>45962</v>
      </c>
      <c r="E15" s="1">
        <f ca="1">Hoja1!$F$2</f>
        <v>45996</v>
      </c>
      <c r="F15" t="str">
        <f ca="1">IF(C15="publico",CONCATENATE(Hoja1!$G$2,YEAR(E15),"-",TEXT(E15,"mm")),CONCATENATE(Hoja1!$H$2,Hoja1!$C$2,"/",Hoja1!$I$2,YEAR(E15),"-",TEXT(E15,"mm")))</f>
        <v>/INFORMACION_XM/PUBLICOK/SIC/COMERCIA/2025-12</v>
      </c>
    </row>
    <row r="16" spans="1:6" x14ac:dyDescent="0.25">
      <c r="A16" t="s">
        <v>36</v>
      </c>
      <c r="B16" t="str">
        <f>IF(C16="publico",CONCATENATE(Hoja1!$G$2,YEAR(D16),"-",TEXT(D16,"mm")),CONCATENATE(Hoja1!$H$2,Hoja1!$C$2,"/",Hoja1!$I$2,YEAR(D16),"-",TEXT(D16,"mm")))</f>
        <v>/INFORMACION_XM/PUBLICOK/SIC/COMERCIA/2025-11</v>
      </c>
      <c r="C16" t="s">
        <v>24</v>
      </c>
      <c r="D16" s="1">
        <f>Hoja1!$E$2</f>
        <v>45962</v>
      </c>
      <c r="E16" s="1">
        <f ca="1">Hoja1!$F$2</f>
        <v>45996</v>
      </c>
      <c r="F16" t="str">
        <f ca="1">IF(C16="publico",CONCATENATE(Hoja1!$G$2,YEAR(E16),"-",TEXT(E16,"mm")),CONCATENATE(Hoja1!$H$2,Hoja1!$C$2,"/",Hoja1!$I$2,YEAR(E16),"-",TEXT(E16,"mm")))</f>
        <v>/INFORMACION_XM/PUBLICOK/SIC/COMERCIA/2025-12</v>
      </c>
    </row>
  </sheetData>
  <autoFilter ref="A1:C15" xr:uid="{9469E896-9718-4A69-A7A7-30C5E7879B10}">
    <sortState xmlns:xlrd2="http://schemas.microsoft.com/office/spreadsheetml/2017/richdata2" ref="A2:C15">
      <sortCondition ref="A1:A15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JORGE QUIROZ</cp:lastModifiedBy>
  <dcterms:created xsi:type="dcterms:W3CDTF">2025-11-26T21:50:32Z</dcterms:created>
  <dcterms:modified xsi:type="dcterms:W3CDTF">2025-12-06T04:58:38Z</dcterms:modified>
</cp:coreProperties>
</file>